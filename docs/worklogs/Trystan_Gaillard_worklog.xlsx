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b132f601c3eccc05/Bureau/"/>
    </mc:Choice>
  </mc:AlternateContent>
  <xr:revisionPtr revIDLastSave="0" documentId="8_{3BD6DB54-862F-4965-AFE8-EA5E64BC978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state="hidden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<sst xmlns="http://schemas.openxmlformats.org/spreadsheetml/2006/main" count="128" uniqueCount="60">
  <si>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</si>
  <si>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</si>
  <si>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</si>
  <si>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</si>
  <si>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</si>
  <si>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</si>
  <si>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</si>
  <si>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</si>
  <si>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</si>
  <si>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</si>
  <si>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</si>
  <si>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</si>
  <si>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</si>
  <si>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</si>
  <si>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Découvert du groupe et du projet.</t>
  </si>
  <si>
    <t>/</t>
  </si>
  <si>
    <t>Mer. 14 janvier 2026</t>
  </si>
  <si>
    <t>Jeu. 15. janvier 2026</t>
  </si>
  <si>
    <t>Ven. 16 janvier 2026</t>
  </si>
  <si>
    <t>Mar. 20 janvier 2026</t>
  </si>
  <si>
    <t>Analyser et effetuer doumentation.</t>
  </si>
  <si>
    <t>Meeting hebdomadaire avec chef de projet.</t>
  </si>
  <si>
    <t>Réalisation du code afin de faire fonction le dit capteur.</t>
  </si>
  <si>
    <t>Recherche sur le fonctionnement du capteur de distance.</t>
  </si>
  <si>
    <t>Prise en main et analyse du matériel et de la méthode de travail.</t>
  </si>
  <si>
    <t>Mer. 21 janvier 2026</t>
  </si>
  <si>
    <t>Recherche sur le fonctionnement du Novak Brushless 8.5.</t>
  </si>
  <si>
    <t>Modification et avancement du Powerpoint.</t>
  </si>
  <si>
    <t>Brasage des câbles pour les phares.</t>
  </si>
  <si>
    <t>Jeu. 22 janvier 2026</t>
  </si>
  <si>
    <t>Compléxité du moteur.</t>
  </si>
  <si>
    <t>Diffiulté dut à mon faible niveau de Code + première fois en C++.</t>
  </si>
  <si>
    <t>Je n'avais pas mon ordinateur portable.</t>
  </si>
  <si>
    <t>Ven. 23 janvier 2026</t>
  </si>
  <si>
    <t>Lun. 26 janvier 2026</t>
  </si>
  <si>
    <t>Mar. 27 janvier 2026</t>
  </si>
  <si>
    <t>Mer. 28 janvier 2026</t>
  </si>
  <si>
    <t>J'ai appris que j'ai également des difficuluté à réer des schémas.</t>
  </si>
  <si>
    <t>Toujours difficile le code pour moi.</t>
  </si>
  <si>
    <t>Beaucoup trop de temps passer desus mais enfin fini.</t>
  </si>
  <si>
    <t>Long car brasage assez complexe (je n'ai pas réussi à finir pendant cette session).</t>
  </si>
  <si>
    <t>Réalisation d'un plan pour moteur plan B.</t>
  </si>
  <si>
    <t>Petit bout du code du moteur.</t>
  </si>
  <si>
    <t>Brassage du moteur.</t>
  </si>
  <si>
    <t>Notre classe était en visite à HEIGvd.</t>
  </si>
  <si>
    <t>Debut du brasage du moteur.</t>
  </si>
  <si>
    <t>Documentation des LEDs.</t>
  </si>
  <si>
    <t>Meeting avec le chef de projet.</t>
  </si>
  <si>
    <t>Meeting avec le groupe.</t>
  </si>
  <si>
    <t>Brasage du plan b pour le moteur</t>
  </si>
  <si>
    <t>J'ai dû me battre avec mon fer pour qu'il veuille bien braser</t>
  </si>
  <si>
    <t>Ecrire ma conclusion personnel.</t>
  </si>
  <si>
    <t>Test du code du capteur</t>
  </si>
  <si>
    <t>Jeu. 29 janvier 2026</t>
  </si>
  <si>
    <t>J'était absens une période</t>
  </si>
  <si>
    <t>Reveil</t>
  </si>
  <si>
    <t>Amélioration de ma conlusion</t>
  </si>
  <si>
    <t>Dernier meeting + travail avec le groupe</t>
  </si>
  <si>
    <t>Dernier petit test de la voiture (pour ma part)</t>
  </si>
  <si>
    <t xml:space="preserve">Quelque petit problème mineur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</si>
</sst>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8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  <xf numFmtId="0" fontId="2" fillId="0" borderId="0" xfId="0" quotePrefix="1" applyFont="1" applyAlignment="1">
      <alignment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3.75</c:v>
                </c:pt>
                <c:pt idx="1">
                  <c:v>3</c:v>
                </c:pt>
                <c:pt idx="2">
                  <c:v>16.25</c:v>
                </c:pt>
                <c:pt idx="3">
                  <c:v>0.75</c:v>
                </c:pt>
                <c:pt idx="4">
                  <c:v>6.25</c:v>
                </c:pt>
                <c:pt idx="5">
                  <c:v>0</c:v>
                </c:pt>
                <c:pt idx="6">
                  <c:v>3</c:v>
                </c:pt>
                <c:pt idx="7">
                  <c:v>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5">
    <sortCondition descending="1" ref="D1:D1048575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70" zoomScaleNormal="70" workbookViewId="0">
      <pane ySplit="1" topLeftCell="A2" activePane="bottomLeft" state="frozen"/>
      <selection pane="bottomLeft" activeCell="F28" sqref="F28"/>
    </sheetView>
  </sheetViews>
  <sheetFormatPr baseColWidth="10" defaultColWidth="9" defaultRowHeight="16.5" x14ac:dyDescent="0.3"/>
  <cols>
    <col min="1" max="1" width="24.875" style="4" customWidth="1"/>
    <col min="2" max="2" width="13.375" style="15" customWidth="1"/>
    <col min="3" max="3" width="15.25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 t="s">
        <v>16</v>
      </c>
      <c r="B2" s="14">
        <v>1</v>
      </c>
      <c r="C2" s="11">
        <v>0.75</v>
      </c>
      <c r="D2" s="7" t="s">
        <v>7</v>
      </c>
      <c r="E2" s="8" t="s">
        <v>14</v>
      </c>
      <c r="F2" s="8" t="s">
        <v>15</v>
      </c>
    </row>
    <row r="3" spans="1:6" ht="24.95" customHeight="1" x14ac:dyDescent="0.3">
      <c r="A3" s="6" t="s">
        <v>16</v>
      </c>
      <c r="B3" s="14">
        <v>1</v>
      </c>
      <c r="C3" s="11">
        <v>3.75</v>
      </c>
      <c r="D3" s="7" t="s">
        <v>13</v>
      </c>
      <c r="E3" s="8" t="s">
        <v>24</v>
      </c>
      <c r="F3" s="8" t="s">
        <v>32</v>
      </c>
    </row>
    <row r="4" spans="1:6" ht="24.95" customHeight="1" x14ac:dyDescent="0.3">
      <c r="A4" s="6" t="s">
        <v>17</v>
      </c>
      <c r="B4" s="14">
        <v>1</v>
      </c>
      <c r="C4" s="11">
        <v>1.5</v>
      </c>
      <c r="D4" s="7" t="s">
        <v>7</v>
      </c>
      <c r="E4" s="8" t="s">
        <v>23</v>
      </c>
      <c r="F4" s="8" t="s">
        <v>15</v>
      </c>
    </row>
    <row r="5" spans="1:6" ht="24.95" customHeight="1" x14ac:dyDescent="0.3">
      <c r="A5" s="6" t="s">
        <v>17</v>
      </c>
      <c r="B5" s="14">
        <v>1</v>
      </c>
      <c r="C5" s="11">
        <v>2.25</v>
      </c>
      <c r="D5" s="7" t="s">
        <v>9</v>
      </c>
      <c r="E5" s="8" t="s">
        <v>22</v>
      </c>
      <c r="F5" s="8" t="s">
        <v>31</v>
      </c>
    </row>
    <row r="6" spans="1:6" ht="24.95" customHeight="1" x14ac:dyDescent="0.3">
      <c r="A6" s="6" t="s">
        <v>17</v>
      </c>
      <c r="B6" s="14">
        <v>1</v>
      </c>
      <c r="C6" s="11">
        <v>0.25</v>
      </c>
      <c r="D6" s="7" t="s">
        <v>10</v>
      </c>
      <c r="E6" s="8" t="s">
        <v>52</v>
      </c>
      <c r="F6" s="8" t="s">
        <v>15</v>
      </c>
    </row>
    <row r="7" spans="1:6" ht="24.95" customHeight="1" x14ac:dyDescent="0.3">
      <c r="A7" s="6" t="s">
        <v>17</v>
      </c>
      <c r="B7" s="14">
        <v>1</v>
      </c>
      <c r="C7" s="11">
        <v>1.5</v>
      </c>
      <c r="D7" s="7" t="s">
        <v>7</v>
      </c>
      <c r="E7" s="8" t="s">
        <v>26</v>
      </c>
      <c r="F7" s="8" t="s">
        <v>30</v>
      </c>
    </row>
    <row r="8" spans="1:6" ht="24.95" customHeight="1" x14ac:dyDescent="0.3">
      <c r="A8" s="6" t="s">
        <v>18</v>
      </c>
      <c r="B8" s="14">
        <v>1</v>
      </c>
      <c r="C8" s="11">
        <v>1.25</v>
      </c>
      <c r="D8" s="7" t="s">
        <v>13</v>
      </c>
      <c r="E8" s="8" t="s">
        <v>21</v>
      </c>
      <c r="F8" s="8" t="s">
        <v>15</v>
      </c>
    </row>
    <row r="9" spans="1:6" ht="24.95" customHeight="1" x14ac:dyDescent="0.3">
      <c r="A9" s="6" t="s">
        <v>19</v>
      </c>
      <c r="B9" s="14">
        <v>2</v>
      </c>
      <c r="C9" s="11">
        <v>2</v>
      </c>
      <c r="D9" s="7" t="s">
        <v>11</v>
      </c>
      <c r="E9" s="8" t="s">
        <v>20</v>
      </c>
      <c r="F9" s="8" t="s">
        <v>15</v>
      </c>
    </row>
    <row r="10" spans="1:6" ht="24.95" customHeight="1" x14ac:dyDescent="0.3">
      <c r="A10" s="6" t="s">
        <v>25</v>
      </c>
      <c r="B10" s="14">
        <v>2</v>
      </c>
      <c r="C10" s="11">
        <v>0.25</v>
      </c>
      <c r="D10" s="7" t="s">
        <v>11</v>
      </c>
      <c r="E10" s="8" t="s">
        <v>27</v>
      </c>
      <c r="F10" s="8" t="s">
        <v>15</v>
      </c>
    </row>
    <row r="11" spans="1:6" ht="24.95" customHeight="1" x14ac:dyDescent="0.3">
      <c r="A11" s="6" t="s">
        <v>25</v>
      </c>
      <c r="B11" s="14">
        <v>2</v>
      </c>
      <c r="C11" s="11">
        <v>3.75</v>
      </c>
      <c r="D11" s="7" t="s">
        <v>9</v>
      </c>
      <c r="E11" s="8" t="s">
        <v>28</v>
      </c>
      <c r="F11" s="8" t="s">
        <v>15</v>
      </c>
    </row>
    <row r="12" spans="1:6" ht="24.95" customHeight="1" x14ac:dyDescent="0.3">
      <c r="A12" s="6" t="s">
        <v>25</v>
      </c>
      <c r="B12" s="14">
        <v>2</v>
      </c>
      <c r="C12" s="11">
        <v>0.75</v>
      </c>
      <c r="D12" s="7" t="s">
        <v>11</v>
      </c>
      <c r="E12" s="8" t="s">
        <v>46</v>
      </c>
      <c r="F12" s="8" t="s">
        <v>15</v>
      </c>
    </row>
    <row r="13" spans="1:6" ht="24.95" customHeight="1" x14ac:dyDescent="0.3">
      <c r="A13" s="6" t="s">
        <v>29</v>
      </c>
      <c r="B13" s="14">
        <v>2</v>
      </c>
      <c r="C13" s="11">
        <v>1.5</v>
      </c>
      <c r="D13" s="7" t="s">
        <v>11</v>
      </c>
      <c r="E13" s="8" t="s">
        <v>46</v>
      </c>
      <c r="F13" s="8" t="s">
        <v>15</v>
      </c>
    </row>
    <row r="14" spans="1:6" ht="24.95" customHeight="1" x14ac:dyDescent="0.3">
      <c r="A14" s="6" t="s">
        <v>29</v>
      </c>
      <c r="B14" s="14">
        <v>2</v>
      </c>
      <c r="C14" s="11">
        <v>1.5</v>
      </c>
      <c r="D14" s="7" t="s">
        <v>9</v>
      </c>
      <c r="E14" s="8" t="s">
        <v>45</v>
      </c>
      <c r="F14" s="8" t="s">
        <v>15</v>
      </c>
    </row>
    <row r="15" spans="1:6" ht="24.95" customHeight="1" x14ac:dyDescent="0.3">
      <c r="A15" s="6" t="s">
        <v>33</v>
      </c>
      <c r="B15" s="14">
        <v>2</v>
      </c>
      <c r="C15" s="11">
        <v>3</v>
      </c>
      <c r="D15" s="7" t="s">
        <v>9</v>
      </c>
      <c r="E15" s="8" t="s">
        <v>43</v>
      </c>
      <c r="F15" s="8" t="s">
        <v>40</v>
      </c>
    </row>
    <row r="16" spans="1:6" ht="24.95" customHeight="1" x14ac:dyDescent="0.3">
      <c r="A16" s="6" t="s">
        <v>33</v>
      </c>
      <c r="B16" s="14">
        <v>2</v>
      </c>
      <c r="C16" s="11">
        <v>2.25</v>
      </c>
      <c r="D16" s="7" t="s">
        <v>12</v>
      </c>
      <c r="E16" s="8" t="s">
        <v>44</v>
      </c>
      <c r="F16" s="17" t="s">
        <v>15</v>
      </c>
    </row>
    <row r="17" spans="1:6" ht="24.95" customHeight="1" x14ac:dyDescent="0.3">
      <c r="A17" s="6" t="s">
        <v>34</v>
      </c>
      <c r="B17" s="14">
        <v>3</v>
      </c>
      <c r="C17" s="11">
        <v>3</v>
      </c>
      <c r="D17" s="7" t="s">
        <v>9</v>
      </c>
      <c r="E17" s="8" t="s">
        <v>43</v>
      </c>
      <c r="F17" s="8" t="s">
        <v>39</v>
      </c>
    </row>
    <row r="18" spans="1:6" ht="24.95" customHeight="1" x14ac:dyDescent="0.3">
      <c r="A18" s="6" t="s">
        <v>34</v>
      </c>
      <c r="B18" s="14">
        <v>3</v>
      </c>
      <c r="C18" s="11">
        <v>0.75</v>
      </c>
      <c r="D18" s="7" t="s">
        <v>9</v>
      </c>
      <c r="E18" s="8" t="s">
        <v>42</v>
      </c>
      <c r="F18" s="8" t="s">
        <v>38</v>
      </c>
    </row>
    <row r="19" spans="1:6" ht="24.95" customHeight="1" x14ac:dyDescent="0.3">
      <c r="A19" s="6" t="s">
        <v>35</v>
      </c>
      <c r="B19" s="14">
        <v>3</v>
      </c>
      <c r="C19" s="11">
        <v>3</v>
      </c>
      <c r="D19" s="7" t="s">
        <v>8</v>
      </c>
      <c r="E19" s="8" t="s">
        <v>41</v>
      </c>
      <c r="F19" s="8" t="s">
        <v>37</v>
      </c>
    </row>
    <row r="20" spans="1:6" ht="24.95" customHeight="1" x14ac:dyDescent="0.3">
      <c r="A20" s="6" t="s">
        <v>36</v>
      </c>
      <c r="B20" s="14">
        <v>3</v>
      </c>
      <c r="C20" s="11">
        <v>0.5</v>
      </c>
      <c r="D20" s="7" t="s">
        <v>13</v>
      </c>
      <c r="E20" s="8" t="s">
        <v>48</v>
      </c>
      <c r="F20" s="8" t="s">
        <v>15</v>
      </c>
    </row>
    <row r="21" spans="1:6" ht="24.95" customHeight="1" x14ac:dyDescent="0.3">
      <c r="A21" s="6" t="s">
        <v>36</v>
      </c>
      <c r="B21" s="14">
        <v>3</v>
      </c>
      <c r="C21" s="11">
        <v>1</v>
      </c>
      <c r="D21" s="7" t="s">
        <v>13</v>
      </c>
      <c r="E21" s="8" t="s">
        <v>47</v>
      </c>
      <c r="F21" s="8" t="s">
        <v>15</v>
      </c>
    </row>
    <row r="22" spans="1:6" ht="24.95" customHeight="1" x14ac:dyDescent="0.3">
      <c r="A22" s="6" t="s">
        <v>36</v>
      </c>
      <c r="B22" s="14">
        <v>3</v>
      </c>
      <c r="C22" s="11">
        <v>2</v>
      </c>
      <c r="D22" s="7" t="s">
        <v>9</v>
      </c>
      <c r="E22" s="8" t="s">
        <v>49</v>
      </c>
      <c r="F22" s="8" t="s">
        <v>50</v>
      </c>
    </row>
    <row r="23" spans="1:6" ht="24.95" customHeight="1" x14ac:dyDescent="0.3">
      <c r="A23" s="6" t="s">
        <v>36</v>
      </c>
      <c r="B23" s="14">
        <v>3</v>
      </c>
      <c r="C23" s="11">
        <v>1</v>
      </c>
      <c r="D23" s="7" t="s">
        <v>11</v>
      </c>
      <c r="E23" s="8" t="s">
        <v>51</v>
      </c>
      <c r="F23" s="8" t="s">
        <v>15</v>
      </c>
    </row>
    <row r="24" spans="1:6" ht="24.95" customHeight="1" x14ac:dyDescent="0.3">
      <c r="A24" s="6" t="s">
        <v>53</v>
      </c>
      <c r="B24" s="14">
        <v>3</v>
      </c>
      <c r="C24" s="11">
        <v>0.75</v>
      </c>
      <c r="D24" s="7" t="s">
        <v>12</v>
      </c>
      <c r="E24" s="8" t="s">
        <v>54</v>
      </c>
      <c r="F24" s="8" t="s">
        <v>55</v>
      </c>
    </row>
    <row r="25" spans="1:6" ht="24.95" customHeight="1" x14ac:dyDescent="0.3">
      <c r="A25" s="6" t="s">
        <v>53</v>
      </c>
      <c r="B25" s="14">
        <v>3</v>
      </c>
      <c r="C25" s="11">
        <v>0.75</v>
      </c>
      <c r="D25" s="7" t="s">
        <v>11</v>
      </c>
      <c r="E25" s="8" t="s">
        <v>56</v>
      </c>
      <c r="F25" s="8" t="s">
        <v>15</v>
      </c>
    </row>
    <row r="26" spans="1:6" ht="24.95" customHeight="1" x14ac:dyDescent="0.3">
      <c r="A26" s="6" t="s">
        <v>53</v>
      </c>
      <c r="B26" s="14">
        <v>3</v>
      </c>
      <c r="C26" s="11">
        <v>1</v>
      </c>
      <c r="D26" s="7" t="s">
        <v>13</v>
      </c>
      <c r="E26" s="8" t="s">
        <v>57</v>
      </c>
      <c r="F26" s="8" t="s">
        <v>15</v>
      </c>
    </row>
    <row r="27" spans="1:6" ht="24.95" customHeight="1" x14ac:dyDescent="0.3">
      <c r="A27" s="6" t="s">
        <v>53</v>
      </c>
      <c r="B27" s="14">
        <v>3</v>
      </c>
      <c r="C27" s="11">
        <v>0.5</v>
      </c>
      <c r="D27" s="7" t="s">
        <v>10</v>
      </c>
      <c r="E27" s="8" t="s">
        <v>58</v>
      </c>
      <c r="F27" s="8" t="s">
        <v>59</v>
      </c>
    </row>
    <row r="28" spans="1:6" ht="24.95" customHeight="1" x14ac:dyDescent="0.3">
      <c r="A28" s="6"/>
      <c r="B28" s="14"/>
      <c r="C28" s="11"/>
      <c r="D28" s="7"/>
      <c r="E28" s="8"/>
      <c r="F28" s="8"/>
    </row>
    <row r="29" spans="1:6" ht="24.95" customHeight="1" x14ac:dyDescent="0.3">
      <c r="A29" s="6"/>
      <c r="B29" s="14"/>
      <c r="C29" s="11"/>
      <c r="D29" s="7"/>
      <c r="E29" s="8"/>
      <c r="F29" s="8"/>
    </row>
    <row r="30" spans="1:6" ht="24.95" customHeight="1" x14ac:dyDescent="0.3">
      <c r="A30" s="6"/>
      <c r="B30" s="14"/>
      <c r="C30" s="11"/>
      <c r="D30" s="7"/>
      <c r="E30" s="8"/>
      <c r="F30" s="8"/>
    </row>
    <row r="31" spans="1:6" ht="24.95" customHeight="1" x14ac:dyDescent="0.3">
      <c r="A31" s="6"/>
      <c r="B31" s="14"/>
      <c r="C31" s="11"/>
      <c r="D31" s="7"/>
      <c r="E31" s="8"/>
      <c r="F31" s="8"/>
    </row>
    <row r="32" spans="1:6" ht="24.95" customHeight="1" x14ac:dyDescent="0.3">
      <c r="A32" s="6"/>
      <c r="B32" s="14"/>
      <c r="C32" s="11"/>
      <c r="D32" s="7"/>
      <c r="E32" s="8"/>
      <c r="F32" s="8"/>
    </row>
    <row r="33" spans="1:6" ht="24.95" customHeight="1" x14ac:dyDescent="0.3">
      <c r="A33" s="6"/>
      <c r="B33" s="14"/>
      <c r="C33" s="11"/>
      <c r="D33" s="7"/>
      <c r="E33" s="8"/>
      <c r="F33" s="8"/>
    </row>
    <row r="34" spans="1:6" ht="24.95" customHeight="1" x14ac:dyDescent="0.3">
      <c r="A34" s="6"/>
      <c r="B34" s="14"/>
      <c r="C34" s="11"/>
      <c r="D34" s="7"/>
      <c r="E34" s="8"/>
      <c r="F34" s="8"/>
    </row>
    <row r="35" spans="1:6" ht="24.95" customHeight="1" x14ac:dyDescent="0.3">
      <c r="A35" s="6"/>
      <c r="B35" s="14"/>
      <c r="C35" s="11"/>
      <c r="D35" s="7"/>
      <c r="E35" s="8"/>
      <c r="F35" s="8"/>
    </row>
    <row r="36" spans="1:6" ht="24.95" customHeight="1" x14ac:dyDescent="0.3">
      <c r="A36" s="6"/>
      <c r="B36" s="14"/>
      <c r="C36" s="11"/>
      <c r="D36" s="7"/>
      <c r="E36" s="8"/>
      <c r="F36" s="8"/>
    </row>
    <row r="37" spans="1:6" ht="24.95" customHeight="1" x14ac:dyDescent="0.3">
      <c r="A37" s="6"/>
      <c r="B37" s="14"/>
      <c r="C37" s="11"/>
      <c r="D37" s="7"/>
      <c r="E37" s="8"/>
      <c r="F37" s="8"/>
    </row>
    <row r="38" spans="1:6" ht="24.95" customHeight="1" x14ac:dyDescent="0.3">
      <c r="A38" s="6"/>
      <c r="B38" s="14"/>
      <c r="C38" s="11"/>
      <c r="D38" s="7"/>
      <c r="E38" s="8"/>
      <c r="F38" s="8"/>
    </row>
    <row r="39" spans="1:6" ht="24.95" customHeight="1" x14ac:dyDescent="0.3">
      <c r="A39" s="6"/>
      <c r="B39" s="14"/>
      <c r="C39" s="11"/>
      <c r="D39" s="7"/>
      <c r="E39" s="8"/>
      <c r="F39" s="8"/>
    </row>
    <row r="40" spans="1:6" ht="24.95" customHeight="1" x14ac:dyDescent="0.3">
      <c r="A40" s="6"/>
      <c r="B40" s="14"/>
      <c r="C40" s="11"/>
      <c r="D40" s="7"/>
      <c r="E40" s="8"/>
      <c r="F40" s="8"/>
    </row>
    <row r="41" spans="1:6" ht="24.95" customHeight="1" x14ac:dyDescent="0.3">
      <c r="A41" s="6"/>
      <c r="B41" s="14"/>
      <c r="C41" s="11"/>
      <c r="D41" s="7"/>
      <c r="E41" s="8"/>
      <c r="F41" s="8"/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</sheetData>
  <phoneticPr fontId="3" type="noConversion"/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C6" sqref="C6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SUMIF(Journal!$D$2:$D$160,Tableau13[[#This Row],[Type]],Journal!$C$2:$C$160)</f>
        <v>3.75</v>
      </c>
    </row>
    <row r="3" spans="1:2" ht="24.95" customHeight="1" x14ac:dyDescent="0.3">
      <c r="A3" s="16" t="s">
        <v>8</v>
      </c>
      <c r="B3" s="11">
        <f>SUMIF(Journal!$D$2:$D$160,Tableau13[[#This Row],[Type]],Journal!$C$2:$C$160)</f>
        <v>3</v>
      </c>
    </row>
    <row r="4" spans="1:2" ht="24.95" customHeight="1" x14ac:dyDescent="0.3">
      <c r="A4" s="16" t="s">
        <v>9</v>
      </c>
      <c r="B4" s="11">
        <f>SUMIF(Journal!$D$2:$D$160,Tableau13[[#This Row],[Type]],Journal!$C$2:$C$160)</f>
        <v>16.25</v>
      </c>
    </row>
    <row r="5" spans="1:2" ht="24.95" customHeight="1" x14ac:dyDescent="0.3">
      <c r="A5" s="16" t="s">
        <v>10</v>
      </c>
      <c r="B5" s="11">
        <f>SUMIF(Journal!$D$2:$D$160,Tableau13[[#This Row],[Type]],Journal!$C$2:$C$160)</f>
        <v>0.75</v>
      </c>
    </row>
    <row r="6" spans="1:2" ht="24.95" customHeight="1" x14ac:dyDescent="0.3">
      <c r="A6" s="16" t="s">
        <v>11</v>
      </c>
      <c r="B6" s="11">
        <f>SUMIF(Journal!$D$2:$D$160,Tableau13[[#This Row],[Type]],Journal!$C$2:$C$160)</f>
        <v>6.25</v>
      </c>
    </row>
    <row r="7" spans="1:2" ht="24.95" customHeight="1" x14ac:dyDescent="0.3">
      <c r="A7" s="16" t="s">
        <v>6</v>
      </c>
      <c r="B7" s="11">
        <f>SUMIF(Journal!$D$2:$D$160,Tableau13[[#This Row],[Type]],Journal!$C$2:$C$160)</f>
        <v>0</v>
      </c>
    </row>
    <row r="8" spans="1:2" ht="24.95" customHeight="1" x14ac:dyDescent="0.3">
      <c r="A8" s="16" t="s">
        <v>12</v>
      </c>
      <c r="B8" s="11">
        <f>SUMIF(Journal!$D$2:$D$160,Tableau13[[#This Row],[Type]],Journal!$C$2:$C$160)</f>
        <v>3</v>
      </c>
    </row>
    <row r="9" spans="1:2" ht="24.95" customHeight="1" x14ac:dyDescent="0.3">
      <c r="A9" s="16" t="s">
        <v>13</v>
      </c>
      <c r="B9" s="11">
        <f>SUMIF(Journal!$D$2:$D$160,Tableau13[[#This Row],[Type]],Journal!$C$2:$C$160)</f>
        <v>7.5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sheetProtection sheet="1" objects="1" scenarios="1"/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C9" sqref="C9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Trystan Gaillard</cp:lastModifiedBy>
  <cp:revision/>
  <dcterms:created xsi:type="dcterms:W3CDTF">2015-06-05T18:19:34Z</dcterms:created>
  <dcterms:modified xsi:type="dcterms:W3CDTF">2026-01-29T17:41:16Z</dcterms:modified>
  <cp:category/>
  <cp:contentStatus/>
</cp:coreProperties>
</file>